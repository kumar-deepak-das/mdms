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sdp\Downloads\"/>
    </mc:Choice>
  </mc:AlternateContent>
  <xr:revisionPtr revIDLastSave="0" documentId="13_ncr:1_{22367214-44A7-4453-B321-6F6E7F2A322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October-2025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2" i="1"/>
</calcChain>
</file>

<file path=xl/sharedStrings.xml><?xml version="1.0" encoding="utf-8"?>
<sst xmlns="http://schemas.openxmlformats.org/spreadsheetml/2006/main" count="152" uniqueCount="80">
  <si>
    <t>Sl. No.</t>
  </si>
  <si>
    <t>School Name</t>
  </si>
  <si>
    <t>Student Name</t>
  </si>
  <si>
    <t>Roll No</t>
  </si>
  <si>
    <t>Regn No</t>
  </si>
  <si>
    <t>Application No</t>
  </si>
  <si>
    <t>No. of Transcript's</t>
  </si>
  <si>
    <t>Received Personally</t>
  </si>
  <si>
    <t>Received by Post(IND)</t>
  </si>
  <si>
    <t>Received by Post(INT)</t>
  </si>
  <si>
    <t>Received by Same Address</t>
  </si>
  <si>
    <t>Received by e-Copy</t>
  </si>
  <si>
    <t>Application Date</t>
  </si>
  <si>
    <t>Amount Paid</t>
  </si>
  <si>
    <t>Payment Date</t>
  </si>
  <si>
    <t>Payment Reference No</t>
  </si>
  <si>
    <t>Remarks</t>
  </si>
  <si>
    <t>Status</t>
  </si>
  <si>
    <t>Last Updated</t>
  </si>
  <si>
    <t>School of Computer Engineering</t>
  </si>
  <si>
    <t>ARKA MAHANTY</t>
  </si>
  <si>
    <t>Completely Dispatched</t>
  </si>
  <si>
    <t>Smruti Ranjan Pathy</t>
  </si>
  <si>
    <t>ANKIT KUMAR</t>
  </si>
  <si>
    <t>Partially Dispatched</t>
  </si>
  <si>
    <t>The name of the Institution where the Transcript is required has been mentioned incorrectly as KIIT. Kindly correct it.</t>
  </si>
  <si>
    <t>Rejected</t>
  </si>
  <si>
    <t>MAITREYEE SAR</t>
  </si>
  <si>
    <t>SBINN52025102486681428</t>
  </si>
  <si>
    <t>School of Electronics Engineering</t>
  </si>
  <si>
    <t>TANAY KHANDELWAL</t>
  </si>
  <si>
    <t>School of Mechanical Engineering</t>
  </si>
  <si>
    <t>Tendai Takuramunashe Gurupira</t>
  </si>
  <si>
    <t>School of Biotechnology</t>
  </si>
  <si>
    <t>SUSHMITA PRAMANIK</t>
  </si>
  <si>
    <t>School of Civil Engineering</t>
  </si>
  <si>
    <t>LAXMI NARAYAN RAY</t>
  </si>
  <si>
    <t>KUMAR PRIYANSHU</t>
  </si>
  <si>
    <t>SHITHAN GHOSH</t>
  </si>
  <si>
    <t>Nirupama Sadangi</t>
  </si>
  <si>
    <t>01252TY00252</t>
  </si>
  <si>
    <t>ICICN12025101603759750</t>
  </si>
  <si>
    <t>SUTAM MONDAL</t>
  </si>
  <si>
    <t>AVISHIKTA BHATTACHARJEE</t>
  </si>
  <si>
    <t>SOUDEEP GHOSHAL</t>
  </si>
  <si>
    <t>ANURAG PAL</t>
  </si>
  <si>
    <t>SANKET KUMAR MOHAPATRA</t>
  </si>
  <si>
    <t>School of Computer Applications</t>
  </si>
  <si>
    <t>Arijit Mondal</t>
  </si>
  <si>
    <t>SBINN52025101567315494</t>
  </si>
  <si>
    <t>Bibhuti Adhikari</t>
  </si>
  <si>
    <t>ANANYA GUPTA</t>
  </si>
  <si>
    <t>SHREYOSHI GANGULI</t>
  </si>
  <si>
    <t>ICICN12025101403373342</t>
  </si>
  <si>
    <t>School of Dental Sciences</t>
  </si>
  <si>
    <t>JESSICA SHARMA</t>
  </si>
  <si>
    <t>ICICN12025101403370264</t>
  </si>
  <si>
    <t>RITIKA GHOSH</t>
  </si>
  <si>
    <t>UTIBN62025101417432277</t>
  </si>
  <si>
    <t>DEBOSMITA CHAKRABORTY</t>
  </si>
  <si>
    <t>BISHAL SINGH</t>
  </si>
  <si>
    <t>SRIYANS GHOSE</t>
  </si>
  <si>
    <t>Chamathni Deegoda Liyanage</t>
  </si>
  <si>
    <t>School of Management</t>
  </si>
  <si>
    <t>YAOVI AKAKPO</t>
  </si>
  <si>
    <t>RONITA CHAKRABORTY</t>
  </si>
  <si>
    <t>AVISEKH KUMAR TRIPATHY</t>
  </si>
  <si>
    <t>SHUBHRODEEP PAL</t>
  </si>
  <si>
    <t>Rupashree Tripathy</t>
  </si>
  <si>
    <t>0701BBS072</t>
  </si>
  <si>
    <t>Subarna Ghosh</t>
  </si>
  <si>
    <t>PRIYAMVADA JHA</t>
  </si>
  <si>
    <t>SIBA PRASAD TRIPATHY</t>
  </si>
  <si>
    <t>MANISH KUMAR MOHANTY</t>
  </si>
  <si>
    <t>GAUTAM SHRIVASTAVA</t>
  </si>
  <si>
    <t>SRISHTI YADAV</t>
  </si>
  <si>
    <t>AHANA BANDYOPADHYAY</t>
  </si>
  <si>
    <t>School of Economics &amp; Commerce</t>
  </si>
  <si>
    <t>Kabungo Bwalya</t>
  </si>
  <si>
    <t>DWIPARNA MANDAL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</si>
</sst>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>
      <selection activeCell="A5" sqref="A5:XFD5"/>
    </sheetView>
  </sheetViews>
  <sheetFormatPr defaultRowHeight="15.75" x14ac:dyDescent="0.25"/>
  <cols>
    <col min="1" max="1" width="6" bestFit="1" customWidth="1"/>
    <col min="2" max="2" width="28.875" bestFit="1" customWidth="1"/>
    <col min="3" max="3" width="27.75" bestFit="1" customWidth="1"/>
    <col min="4" max="4" width="11" bestFit="1" customWidth="1"/>
    <col min="5" max="5" width="13" bestFit="1" customWidth="1"/>
    <col min="6" max="6" width="15" style="2" bestFit="1" customWidth="1"/>
    <col min="7" max="7" width="24" style="2" customWidth="1"/>
    <col min="8" max="8" width="15.875" bestFit="1" customWidth="1"/>
    <col min="9" max="9" width="17.375" bestFit="1" customWidth="1"/>
    <col min="10" max="10" width="19.125" bestFit="1" customWidth="1"/>
    <col min="11" max="11" width="18.875" bestFit="1" customWidth="1"/>
    <col min="12" max="12" width="22.875" bestFit="1" customWidth="1"/>
    <col min="13" max="13" width="16.875" bestFit="1" customWidth="1"/>
    <col min="14" max="14" width="14.5" bestFit="1" customWidth="1"/>
    <col min="15" max="15" width="11.125" bestFit="1" customWidth="1"/>
    <col min="16" max="16" width="12.25" bestFit="1" customWidth="1"/>
    <col min="17" max="17" width="23.375" bestFit="1" customWidth="1"/>
    <col min="18" max="18" width="97.875" bestFit="1" customWidth="1"/>
    <col min="19" max="19" width="19.875" bestFit="1" customWidth="1"/>
    <col min="20" max="20" width="11.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1</v>
      </c>
      <c r="B2" t="s">
        <v>19</v>
      </c>
      <c r="C2" t="s">
        <v>20</v>
      </c>
      <c r="D2">
        <v>2205017</v>
      </c>
      <c r="E2">
        <v>22335589059</v>
      </c>
      <c r="F2" s="2">
        <v>17618071969067</v>
      </c>
      <c r="G2" s="2">
        <v>17618071969067</v>
      </c>
      <c r="H2" t="b">
        <f>EXACT(F2,G2)</f>
        <v>1</v>
      </c>
      <c r="I2">
        <v>1</v>
      </c>
      <c r="J2">
        <v>0</v>
      </c>
      <c r="K2">
        <v>0</v>
      </c>
      <c r="L2">
        <v>0</v>
      </c>
      <c r="M2">
        <v>0</v>
      </c>
      <c r="N2" s="1">
        <v>45960.000115740739</v>
      </c>
      <c r="O2">
        <v>1000</v>
      </c>
      <c r="P2" s="1">
        <v>45960.000115740739</v>
      </c>
      <c r="Q2">
        <v>530349420876</v>
      </c>
      <c r="S2" t="s">
        <v>21</v>
      </c>
      <c r="T2" s="1">
        <v>45962.000115740739</v>
      </c>
    </row>
    <row r="3" spans="1:20" x14ac:dyDescent="0.25">
      <c r="A3">
        <v>2</v>
      </c>
      <c r="B3" t="s">
        <v>19</v>
      </c>
      <c r="C3" t="s">
        <v>22</v>
      </c>
      <c r="D3">
        <v>805150</v>
      </c>
      <c r="E3">
        <v>8090109205</v>
      </c>
      <c r="F3" s="2">
        <v>17617886816619</v>
      </c>
      <c r="G3" s="2">
        <v>17617886816619</v>
      </c>
      <c r="H3" t="b">
        <f t="shared" ref="H3:H42" si="0">EXACT(F3,G3)</f>
        <v>1</v>
      </c>
      <c r="I3">
        <v>0</v>
      </c>
      <c r="J3">
        <v>1</v>
      </c>
      <c r="K3">
        <v>0</v>
      </c>
      <c r="L3">
        <v>0</v>
      </c>
      <c r="M3">
        <v>0</v>
      </c>
      <c r="N3" s="1">
        <v>45960.000115740739</v>
      </c>
      <c r="O3">
        <v>1300</v>
      </c>
      <c r="P3" s="1">
        <v>45960.000115740739</v>
      </c>
      <c r="Q3">
        <v>530307616662</v>
      </c>
      <c r="S3" t="s">
        <v>21</v>
      </c>
      <c r="T3" s="1">
        <v>45964.000115740739</v>
      </c>
    </row>
    <row r="4" spans="1:20" x14ac:dyDescent="0.25">
      <c r="A4">
        <v>3</v>
      </c>
      <c r="B4" t="s">
        <v>19</v>
      </c>
      <c r="C4" t="s">
        <v>23</v>
      </c>
      <c r="D4">
        <v>22052190</v>
      </c>
      <c r="E4">
        <v>22507790781</v>
      </c>
      <c r="F4" s="2">
        <v>17617194160229</v>
      </c>
      <c r="G4" s="2">
        <v>17617194160229</v>
      </c>
      <c r="H4" t="b">
        <f t="shared" si="0"/>
        <v>1</v>
      </c>
      <c r="I4">
        <v>1</v>
      </c>
      <c r="J4">
        <v>0</v>
      </c>
      <c r="K4">
        <v>0</v>
      </c>
      <c r="L4">
        <v>0</v>
      </c>
      <c r="M4">
        <v>0</v>
      </c>
      <c r="N4" s="1">
        <v>45959.000115740739</v>
      </c>
      <c r="O4">
        <v>1000</v>
      </c>
      <c r="P4" s="1">
        <v>45959.000115740739</v>
      </c>
      <c r="Q4">
        <v>530217344431</v>
      </c>
      <c r="S4" t="s">
        <v>24</v>
      </c>
      <c r="T4" s="1">
        <v>45962.000115740739</v>
      </c>
    </row>
    <row r="5" spans="1:20" s="3" customFormat="1" x14ac:dyDescent="0.25">
      <c r="A5" s="3">
        <v>4</v>
      </c>
      <c r="B5" s="3" t="s">
        <v>19</v>
      </c>
      <c r="C5" s="3" t="s">
        <v>20</v>
      </c>
      <c r="D5" s="3">
        <v>2205017</v>
      </c>
      <c r="E5" s="3">
        <v>22335589059</v>
      </c>
      <c r="F5" s="4">
        <v>17615471809845</v>
      </c>
      <c r="G5" s="4"/>
      <c r="H5" s="3" t="b">
        <f t="shared" si="0"/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5">
        <v>45957.000115740739</v>
      </c>
      <c r="O5" s="3">
        <v>1000</v>
      </c>
      <c r="P5" s="5">
        <v>45957.000115740739</v>
      </c>
      <c r="Q5" s="3">
        <v>566630894337</v>
      </c>
      <c r="R5" s="3" t="s">
        <v>25</v>
      </c>
      <c r="S5" s="3" t="s">
        <v>26</v>
      </c>
      <c r="T5" s="5">
        <v>45960.000115740739</v>
      </c>
    </row>
    <row r="6" spans="1:20" x14ac:dyDescent="0.25">
      <c r="A6">
        <v>5</v>
      </c>
      <c r="B6" t="s">
        <v>19</v>
      </c>
      <c r="C6" t="s">
        <v>27</v>
      </c>
      <c r="D6">
        <v>2205388</v>
      </c>
      <c r="E6">
        <v>22363489338</v>
      </c>
      <c r="F6" s="2">
        <v>17613045255167</v>
      </c>
      <c r="G6" s="2">
        <v>17613045255167</v>
      </c>
      <c r="H6" t="b">
        <f t="shared" si="0"/>
        <v>1</v>
      </c>
      <c r="I6">
        <v>1</v>
      </c>
      <c r="J6">
        <v>0</v>
      </c>
      <c r="K6">
        <v>0</v>
      </c>
      <c r="L6">
        <v>0</v>
      </c>
      <c r="M6">
        <v>0</v>
      </c>
      <c r="N6" s="1">
        <v>45954.000115740739</v>
      </c>
      <c r="O6">
        <v>1000</v>
      </c>
      <c r="P6" s="1">
        <v>45954.000115740739</v>
      </c>
      <c r="Q6" t="s">
        <v>28</v>
      </c>
      <c r="S6" t="s">
        <v>21</v>
      </c>
      <c r="T6" s="1">
        <v>45960.000115740739</v>
      </c>
    </row>
    <row r="7" spans="1:20" x14ac:dyDescent="0.25">
      <c r="A7">
        <v>6</v>
      </c>
      <c r="B7" t="s">
        <v>29</v>
      </c>
      <c r="C7" t="s">
        <v>30</v>
      </c>
      <c r="D7">
        <v>1904176</v>
      </c>
      <c r="E7">
        <v>19417270257</v>
      </c>
      <c r="F7" s="2">
        <v>17612909839202</v>
      </c>
      <c r="G7" s="2">
        <v>17612909839202</v>
      </c>
      <c r="H7" t="b">
        <f t="shared" si="0"/>
        <v>1</v>
      </c>
      <c r="I7">
        <v>0</v>
      </c>
      <c r="J7">
        <v>1</v>
      </c>
      <c r="K7">
        <v>0</v>
      </c>
      <c r="L7">
        <v>0</v>
      </c>
      <c r="M7">
        <v>0</v>
      </c>
      <c r="N7" s="1">
        <v>45954.000115740739</v>
      </c>
      <c r="O7">
        <v>1300</v>
      </c>
      <c r="P7" s="1">
        <v>45954.000115740739</v>
      </c>
      <c r="Q7">
        <v>529713995207</v>
      </c>
      <c r="S7" t="s">
        <v>21</v>
      </c>
      <c r="T7" s="1">
        <v>45964.000115740739</v>
      </c>
    </row>
    <row r="8" spans="1:20" x14ac:dyDescent="0.25">
      <c r="A8">
        <v>7</v>
      </c>
      <c r="B8" t="s">
        <v>31</v>
      </c>
      <c r="C8" t="s">
        <v>32</v>
      </c>
      <c r="D8">
        <v>2226008</v>
      </c>
      <c r="E8">
        <v>2210384106476</v>
      </c>
      <c r="F8" s="2">
        <v>17612796885138</v>
      </c>
      <c r="G8" s="2">
        <v>17612796885138</v>
      </c>
      <c r="H8" t="b">
        <f t="shared" si="0"/>
        <v>1</v>
      </c>
      <c r="I8">
        <v>1</v>
      </c>
      <c r="J8">
        <v>0</v>
      </c>
      <c r="K8">
        <v>0</v>
      </c>
      <c r="L8">
        <v>0</v>
      </c>
      <c r="M8">
        <v>0</v>
      </c>
      <c r="N8" s="1">
        <v>45954.000115740739</v>
      </c>
      <c r="O8">
        <v>1000</v>
      </c>
      <c r="P8" s="1">
        <v>45954.000115740739</v>
      </c>
      <c r="Q8">
        <v>529710846481</v>
      </c>
      <c r="S8" t="s">
        <v>21</v>
      </c>
      <c r="T8" s="1">
        <v>45962.000115740739</v>
      </c>
    </row>
    <row r="9" spans="1:20" x14ac:dyDescent="0.25">
      <c r="A9">
        <v>8</v>
      </c>
      <c r="B9" t="s">
        <v>33</v>
      </c>
      <c r="C9" t="s">
        <v>34</v>
      </c>
      <c r="D9">
        <v>2360176</v>
      </c>
      <c r="E9">
        <v>236840103053</v>
      </c>
      <c r="F9" s="2">
        <v>17611503152057</v>
      </c>
      <c r="G9" s="2">
        <v>17611503152057</v>
      </c>
      <c r="H9" t="b">
        <f t="shared" si="0"/>
        <v>1</v>
      </c>
      <c r="I9">
        <v>0</v>
      </c>
      <c r="J9">
        <v>0</v>
      </c>
      <c r="K9">
        <v>0</v>
      </c>
      <c r="L9">
        <v>0</v>
      </c>
      <c r="M9">
        <v>1</v>
      </c>
      <c r="N9" s="1">
        <v>45952.000115740739</v>
      </c>
      <c r="O9">
        <v>1000</v>
      </c>
      <c r="P9" s="1">
        <v>45952.000115740739</v>
      </c>
      <c r="Q9">
        <v>529538035929</v>
      </c>
      <c r="S9" t="s">
        <v>21</v>
      </c>
      <c r="T9" s="1">
        <v>45955.000115740739</v>
      </c>
    </row>
    <row r="10" spans="1:20" x14ac:dyDescent="0.25">
      <c r="A10">
        <v>9</v>
      </c>
      <c r="B10" t="s">
        <v>35</v>
      </c>
      <c r="C10" t="s">
        <v>36</v>
      </c>
      <c r="D10">
        <v>1901106</v>
      </c>
      <c r="E10">
        <v>19414770232</v>
      </c>
      <c r="F10" s="2">
        <v>17611146349325</v>
      </c>
      <c r="G10" s="2">
        <v>17611146349325</v>
      </c>
      <c r="H10" t="b">
        <f t="shared" si="0"/>
        <v>1</v>
      </c>
      <c r="I10">
        <v>0</v>
      </c>
      <c r="J10">
        <v>0</v>
      </c>
      <c r="K10">
        <v>0</v>
      </c>
      <c r="L10">
        <v>0</v>
      </c>
      <c r="M10">
        <v>1</v>
      </c>
      <c r="N10" s="1">
        <v>45952.000115740739</v>
      </c>
      <c r="O10">
        <v>1000</v>
      </c>
      <c r="P10" s="1">
        <v>45952.000115740739</v>
      </c>
      <c r="Q10">
        <v>529500401860</v>
      </c>
      <c r="S10" t="s">
        <v>21</v>
      </c>
      <c r="T10" s="1">
        <v>45953.000115740739</v>
      </c>
    </row>
    <row r="11" spans="1:20" x14ac:dyDescent="0.25">
      <c r="A11">
        <v>10</v>
      </c>
      <c r="B11" t="s">
        <v>19</v>
      </c>
      <c r="C11" t="s">
        <v>37</v>
      </c>
      <c r="D11">
        <v>22053178</v>
      </c>
      <c r="E11">
        <v>22588691590</v>
      </c>
      <c r="F11" s="2">
        <v>17607266433762</v>
      </c>
      <c r="G11" s="2">
        <v>17607266433762</v>
      </c>
      <c r="H11" t="b">
        <f t="shared" si="0"/>
        <v>1</v>
      </c>
      <c r="I11">
        <v>0</v>
      </c>
      <c r="J11">
        <v>0</v>
      </c>
      <c r="K11">
        <v>0</v>
      </c>
      <c r="L11">
        <v>0</v>
      </c>
      <c r="M11">
        <v>1</v>
      </c>
      <c r="N11" s="1">
        <v>45948.000115740739</v>
      </c>
      <c r="O11">
        <v>1000</v>
      </c>
      <c r="P11" s="1">
        <v>45948.000115740739</v>
      </c>
      <c r="Q11">
        <v>529130645093</v>
      </c>
      <c r="S11" t="s">
        <v>21</v>
      </c>
      <c r="T11" s="1">
        <v>45953.000115740739</v>
      </c>
    </row>
    <row r="12" spans="1:20" x14ac:dyDescent="0.25">
      <c r="A12">
        <v>11</v>
      </c>
      <c r="B12" t="s">
        <v>29</v>
      </c>
      <c r="C12" t="s">
        <v>38</v>
      </c>
      <c r="D12">
        <v>2204126</v>
      </c>
      <c r="E12">
        <v>22748293186</v>
      </c>
      <c r="F12" s="2">
        <v>17607017296793</v>
      </c>
      <c r="G12" s="2">
        <v>17607017296793</v>
      </c>
      <c r="H12" t="b">
        <f t="shared" si="0"/>
        <v>1</v>
      </c>
      <c r="I12">
        <v>0</v>
      </c>
      <c r="J12">
        <v>0</v>
      </c>
      <c r="K12">
        <v>0</v>
      </c>
      <c r="L12">
        <v>0</v>
      </c>
      <c r="M12">
        <v>1</v>
      </c>
      <c r="N12" s="1">
        <v>45947.000115740739</v>
      </c>
      <c r="O12">
        <v>1000</v>
      </c>
      <c r="P12" s="1">
        <v>45947.000115740739</v>
      </c>
      <c r="Q12">
        <v>529086916273</v>
      </c>
      <c r="S12" t="s">
        <v>21</v>
      </c>
      <c r="T12" s="1">
        <v>45949.000115740739</v>
      </c>
    </row>
    <row r="13" spans="1:20" x14ac:dyDescent="0.25">
      <c r="A13">
        <v>12</v>
      </c>
      <c r="B13" t="s">
        <v>29</v>
      </c>
      <c r="C13" t="s">
        <v>39</v>
      </c>
      <c r="D13">
        <v>11502</v>
      </c>
      <c r="E13" t="s">
        <v>40</v>
      </c>
      <c r="F13" s="2">
        <v>17606170741631</v>
      </c>
      <c r="G13" s="2">
        <v>17606170741631</v>
      </c>
      <c r="H13" t="b">
        <f t="shared" si="0"/>
        <v>1</v>
      </c>
      <c r="I13">
        <v>1</v>
      </c>
      <c r="J13">
        <v>0</v>
      </c>
      <c r="K13">
        <v>0</v>
      </c>
      <c r="L13">
        <v>0</v>
      </c>
      <c r="M13">
        <v>0</v>
      </c>
      <c r="N13" s="1">
        <v>45946.000115740739</v>
      </c>
      <c r="O13">
        <v>1000</v>
      </c>
      <c r="P13" s="1">
        <v>45946.000115740739</v>
      </c>
      <c r="Q13" t="s">
        <v>41</v>
      </c>
      <c r="S13" t="s">
        <v>21</v>
      </c>
      <c r="T13" s="1">
        <v>45949.000115740739</v>
      </c>
    </row>
    <row r="14" spans="1:20" x14ac:dyDescent="0.25">
      <c r="A14">
        <v>13</v>
      </c>
      <c r="B14" t="s">
        <v>19</v>
      </c>
      <c r="C14" t="s">
        <v>42</v>
      </c>
      <c r="D14">
        <v>21051693</v>
      </c>
      <c r="E14">
        <v>21311680265</v>
      </c>
      <c r="F14" s="2">
        <v>17606021390283</v>
      </c>
      <c r="G14" s="2">
        <v>17606021390283</v>
      </c>
      <c r="H14" t="b">
        <f t="shared" si="0"/>
        <v>1</v>
      </c>
      <c r="I14">
        <v>0</v>
      </c>
      <c r="J14">
        <v>2</v>
      </c>
      <c r="K14">
        <v>0</v>
      </c>
      <c r="L14">
        <v>0</v>
      </c>
      <c r="M14">
        <v>0</v>
      </c>
      <c r="N14" s="1">
        <v>45946.000115740739</v>
      </c>
      <c r="O14">
        <v>2600</v>
      </c>
      <c r="P14" s="1">
        <v>45946.000115740739</v>
      </c>
      <c r="Q14">
        <v>140455497116</v>
      </c>
      <c r="S14" t="s">
        <v>21</v>
      </c>
      <c r="T14" s="1">
        <v>45953.000115740739</v>
      </c>
    </row>
    <row r="15" spans="1:20" x14ac:dyDescent="0.25">
      <c r="A15">
        <v>14</v>
      </c>
      <c r="B15" t="s">
        <v>19</v>
      </c>
      <c r="C15" t="s">
        <v>43</v>
      </c>
      <c r="D15">
        <v>2205195</v>
      </c>
      <c r="E15">
        <v>22348389187</v>
      </c>
      <c r="F15" s="2">
        <v>17605385400069</v>
      </c>
      <c r="G15" s="2">
        <v>17605385400069</v>
      </c>
      <c r="H15" t="b">
        <f t="shared" si="0"/>
        <v>1</v>
      </c>
      <c r="I15">
        <v>0</v>
      </c>
      <c r="J15">
        <v>0</v>
      </c>
      <c r="K15">
        <v>0</v>
      </c>
      <c r="L15">
        <v>0</v>
      </c>
      <c r="M15">
        <v>1</v>
      </c>
      <c r="N15" s="1">
        <v>45945.000115740739</v>
      </c>
      <c r="O15">
        <v>1000</v>
      </c>
      <c r="P15" s="1">
        <v>45945.000115740739</v>
      </c>
      <c r="Q15">
        <v>565460189397</v>
      </c>
      <c r="S15" t="s">
        <v>21</v>
      </c>
      <c r="T15" s="1">
        <v>45949.000115740739</v>
      </c>
    </row>
    <row r="16" spans="1:20" x14ac:dyDescent="0.25">
      <c r="A16">
        <v>15</v>
      </c>
      <c r="B16" t="s">
        <v>19</v>
      </c>
      <c r="C16" t="s">
        <v>44</v>
      </c>
      <c r="D16">
        <v>2205421</v>
      </c>
      <c r="E16">
        <v>22365889362</v>
      </c>
      <c r="F16" s="2">
        <v>17605368963044</v>
      </c>
      <c r="G16" s="2">
        <v>17605368963044</v>
      </c>
      <c r="H16" t="b">
        <f t="shared" si="0"/>
        <v>1</v>
      </c>
      <c r="I16">
        <v>0</v>
      </c>
      <c r="J16">
        <v>0</v>
      </c>
      <c r="K16">
        <v>0</v>
      </c>
      <c r="L16">
        <v>0</v>
      </c>
      <c r="M16">
        <v>1</v>
      </c>
      <c r="N16" s="1">
        <v>45945.000115740739</v>
      </c>
      <c r="O16">
        <v>1000</v>
      </c>
      <c r="P16" s="1">
        <v>45945.000115740739</v>
      </c>
      <c r="Q16">
        <v>565445119465</v>
      </c>
      <c r="S16" t="s">
        <v>21</v>
      </c>
      <c r="T16" s="1">
        <v>45949.000115740739</v>
      </c>
    </row>
    <row r="17" spans="1:20" x14ac:dyDescent="0.25">
      <c r="A17">
        <v>16</v>
      </c>
      <c r="B17" t="s">
        <v>19</v>
      </c>
      <c r="C17" t="s">
        <v>45</v>
      </c>
      <c r="D17">
        <v>1906538</v>
      </c>
      <c r="E17">
        <v>19193468018</v>
      </c>
      <c r="F17" s="2">
        <v>17605368149836</v>
      </c>
      <c r="G17" s="2">
        <v>17605368149836</v>
      </c>
      <c r="H17" t="b">
        <f t="shared" si="0"/>
        <v>1</v>
      </c>
      <c r="I17">
        <v>0</v>
      </c>
      <c r="J17">
        <v>0</v>
      </c>
      <c r="K17">
        <v>0</v>
      </c>
      <c r="L17">
        <v>0</v>
      </c>
      <c r="M17">
        <v>1</v>
      </c>
      <c r="N17" s="1">
        <v>45945.000115740739</v>
      </c>
      <c r="O17">
        <v>1000</v>
      </c>
      <c r="P17" s="1">
        <v>45945.000115740739</v>
      </c>
      <c r="Q17">
        <v>528822558192</v>
      </c>
      <c r="S17" t="s">
        <v>21</v>
      </c>
      <c r="T17" s="1">
        <v>45947.000115740739</v>
      </c>
    </row>
    <row r="18" spans="1:20" x14ac:dyDescent="0.25">
      <c r="A18">
        <v>17</v>
      </c>
      <c r="B18" t="s">
        <v>19</v>
      </c>
      <c r="C18" t="s">
        <v>46</v>
      </c>
      <c r="D18">
        <v>21051246</v>
      </c>
      <c r="E18">
        <v>21650683922</v>
      </c>
      <c r="F18" s="2">
        <v>17605148107483</v>
      </c>
      <c r="G18" s="2">
        <v>17605148107483</v>
      </c>
      <c r="H18" t="b">
        <f t="shared" si="0"/>
        <v>1</v>
      </c>
      <c r="I18">
        <v>1</v>
      </c>
      <c r="J18">
        <v>0</v>
      </c>
      <c r="K18">
        <v>0</v>
      </c>
      <c r="L18">
        <v>0</v>
      </c>
      <c r="M18">
        <v>0</v>
      </c>
      <c r="N18" s="1">
        <v>45945.000115740739</v>
      </c>
      <c r="O18">
        <v>1000</v>
      </c>
      <c r="P18" s="1">
        <v>45945.000115740739</v>
      </c>
      <c r="Q18">
        <v>564339608067</v>
      </c>
      <c r="S18" t="s">
        <v>21</v>
      </c>
      <c r="T18" s="1">
        <v>45960.000115740739</v>
      </c>
    </row>
    <row r="19" spans="1:20" x14ac:dyDescent="0.25">
      <c r="A19">
        <v>18</v>
      </c>
      <c r="B19" t="s">
        <v>47</v>
      </c>
      <c r="C19" t="s">
        <v>48</v>
      </c>
      <c r="D19">
        <v>875014</v>
      </c>
      <c r="E19">
        <v>8191310217</v>
      </c>
      <c r="F19" s="2">
        <v>17605047432217</v>
      </c>
      <c r="G19" s="2">
        <v>17605047432217</v>
      </c>
      <c r="H19" t="b">
        <f t="shared" si="0"/>
        <v>1</v>
      </c>
      <c r="I19">
        <v>0</v>
      </c>
      <c r="J19">
        <v>0</v>
      </c>
      <c r="K19">
        <v>0</v>
      </c>
      <c r="L19">
        <v>0</v>
      </c>
      <c r="M19">
        <v>1</v>
      </c>
      <c r="N19" s="1">
        <v>45945.000115740739</v>
      </c>
      <c r="O19">
        <v>1000</v>
      </c>
      <c r="P19" s="1">
        <v>45945.000115740739</v>
      </c>
      <c r="Q19" t="s">
        <v>49</v>
      </c>
      <c r="S19" t="s">
        <v>21</v>
      </c>
      <c r="T19" s="1">
        <v>45947.000115740739</v>
      </c>
    </row>
    <row r="20" spans="1:20" x14ac:dyDescent="0.25">
      <c r="A20">
        <v>19</v>
      </c>
      <c r="B20" t="s">
        <v>19</v>
      </c>
      <c r="C20" t="s">
        <v>50</v>
      </c>
      <c r="D20">
        <v>21052939</v>
      </c>
      <c r="E20">
        <v>21364580794</v>
      </c>
      <c r="F20" s="2">
        <v>17604532704755</v>
      </c>
      <c r="G20" s="2">
        <v>17604532704755</v>
      </c>
      <c r="H20" t="b">
        <f t="shared" si="0"/>
        <v>1</v>
      </c>
      <c r="I20">
        <v>1</v>
      </c>
      <c r="J20">
        <v>0</v>
      </c>
      <c r="K20">
        <v>0</v>
      </c>
      <c r="L20">
        <v>0</v>
      </c>
      <c r="M20">
        <v>0</v>
      </c>
      <c r="N20" s="1">
        <v>45944.000115740739</v>
      </c>
      <c r="O20">
        <v>1000</v>
      </c>
      <c r="P20" s="1">
        <v>45944.000115740739</v>
      </c>
      <c r="Q20">
        <v>390752947019</v>
      </c>
      <c r="S20" t="s">
        <v>21</v>
      </c>
      <c r="T20" s="1">
        <v>45947.000115740739</v>
      </c>
    </row>
    <row r="21" spans="1:20" x14ac:dyDescent="0.25">
      <c r="A21">
        <v>20</v>
      </c>
      <c r="B21" t="s">
        <v>19</v>
      </c>
      <c r="C21" t="s">
        <v>51</v>
      </c>
      <c r="D21">
        <v>21051537</v>
      </c>
      <c r="E21">
        <v>21661884034</v>
      </c>
      <c r="F21" s="2">
        <v>17604426251590</v>
      </c>
      <c r="G21" s="2">
        <v>17604426251590</v>
      </c>
      <c r="H21" t="b">
        <f t="shared" si="0"/>
        <v>1</v>
      </c>
      <c r="I21">
        <v>0</v>
      </c>
      <c r="J21">
        <v>1</v>
      </c>
      <c r="K21">
        <v>0</v>
      </c>
      <c r="L21">
        <v>0</v>
      </c>
      <c r="M21">
        <v>0</v>
      </c>
      <c r="N21" s="1">
        <v>45944.000115740739</v>
      </c>
      <c r="O21">
        <v>1300</v>
      </c>
      <c r="P21" s="1">
        <v>45944.000115740739</v>
      </c>
      <c r="Q21">
        <v>147294883</v>
      </c>
      <c r="S21" t="s">
        <v>21</v>
      </c>
      <c r="T21" s="1">
        <v>45947.000115740739</v>
      </c>
    </row>
    <row r="22" spans="1:20" x14ac:dyDescent="0.25">
      <c r="A22">
        <v>21</v>
      </c>
      <c r="B22" t="s">
        <v>29</v>
      </c>
      <c r="C22" t="s">
        <v>52</v>
      </c>
      <c r="D22">
        <v>1830053</v>
      </c>
      <c r="E22">
        <v>18254361320</v>
      </c>
      <c r="F22" s="2">
        <v>17604237187591</v>
      </c>
      <c r="G22" s="2">
        <v>17604237187591</v>
      </c>
      <c r="H22" t="b">
        <f t="shared" si="0"/>
        <v>1</v>
      </c>
      <c r="I22">
        <v>0</v>
      </c>
      <c r="J22">
        <v>1</v>
      </c>
      <c r="K22">
        <v>0</v>
      </c>
      <c r="L22">
        <v>0</v>
      </c>
      <c r="M22">
        <v>0</v>
      </c>
      <c r="N22" s="1">
        <v>45944.000115740739</v>
      </c>
      <c r="O22">
        <v>1300</v>
      </c>
      <c r="P22" s="1">
        <v>45944.000115740739</v>
      </c>
      <c r="Q22" t="s">
        <v>53</v>
      </c>
      <c r="S22" t="s">
        <v>21</v>
      </c>
      <c r="T22" s="1">
        <v>45947.000115740739</v>
      </c>
    </row>
    <row r="23" spans="1:20" x14ac:dyDescent="0.25">
      <c r="A23">
        <v>22</v>
      </c>
      <c r="B23" t="s">
        <v>54</v>
      </c>
      <c r="C23" t="s">
        <v>55</v>
      </c>
      <c r="D23">
        <v>1279033</v>
      </c>
      <c r="E23">
        <v>12486027004</v>
      </c>
      <c r="F23" s="2">
        <v>17604222389365</v>
      </c>
      <c r="G23" s="2">
        <v>17604222389365</v>
      </c>
      <c r="H23" t="b">
        <f t="shared" si="0"/>
        <v>1</v>
      </c>
      <c r="I23">
        <v>0</v>
      </c>
      <c r="J23">
        <v>1</v>
      </c>
      <c r="K23">
        <v>0</v>
      </c>
      <c r="L23">
        <v>0</v>
      </c>
      <c r="M23">
        <v>0</v>
      </c>
      <c r="N23" s="1">
        <v>45944.000115740739</v>
      </c>
      <c r="O23">
        <v>1300</v>
      </c>
      <c r="P23" s="1">
        <v>45944.000115740739</v>
      </c>
      <c r="Q23" t="s">
        <v>56</v>
      </c>
      <c r="S23" t="s">
        <v>21</v>
      </c>
      <c r="T23" s="1">
        <v>45964.000115740739</v>
      </c>
    </row>
    <row r="24" spans="1:20" x14ac:dyDescent="0.25">
      <c r="A24">
        <v>23</v>
      </c>
      <c r="B24" t="s">
        <v>29</v>
      </c>
      <c r="C24" t="s">
        <v>57</v>
      </c>
      <c r="D24">
        <v>1604040</v>
      </c>
      <c r="E24">
        <v>16136046315</v>
      </c>
      <c r="F24" s="2">
        <v>17604195680422</v>
      </c>
      <c r="G24" s="2">
        <v>17604195680422</v>
      </c>
      <c r="H24" t="b">
        <f t="shared" si="0"/>
        <v>1</v>
      </c>
      <c r="I24">
        <v>0</v>
      </c>
      <c r="J24">
        <v>0</v>
      </c>
      <c r="K24">
        <v>0</v>
      </c>
      <c r="L24">
        <v>0</v>
      </c>
      <c r="M24">
        <v>1</v>
      </c>
      <c r="N24" s="1">
        <v>45944.000115740739</v>
      </c>
      <c r="O24">
        <v>1000</v>
      </c>
      <c r="P24" s="1">
        <v>45944.000115740739</v>
      </c>
      <c r="Q24" t="s">
        <v>58</v>
      </c>
      <c r="S24" t="s">
        <v>21</v>
      </c>
      <c r="T24" s="1">
        <v>45947.000115740739</v>
      </c>
    </row>
    <row r="25" spans="1:20" x14ac:dyDescent="0.25">
      <c r="A25">
        <v>24</v>
      </c>
      <c r="B25" t="s">
        <v>19</v>
      </c>
      <c r="C25" t="s">
        <v>59</v>
      </c>
      <c r="D25">
        <v>21051990</v>
      </c>
      <c r="E25">
        <v>21682684242</v>
      </c>
      <c r="F25" s="2">
        <v>17603652280292</v>
      </c>
      <c r="G25" s="2">
        <v>17603652280292</v>
      </c>
      <c r="H25" t="b">
        <f t="shared" si="0"/>
        <v>1</v>
      </c>
      <c r="I25">
        <v>0</v>
      </c>
      <c r="J25">
        <v>0</v>
      </c>
      <c r="K25">
        <v>0</v>
      </c>
      <c r="L25">
        <v>0</v>
      </c>
      <c r="M25">
        <v>1</v>
      </c>
      <c r="N25" s="1">
        <v>45943.000115740739</v>
      </c>
      <c r="O25">
        <v>1000</v>
      </c>
      <c r="P25" s="1">
        <v>45943.000115740739</v>
      </c>
      <c r="Q25">
        <v>245083215114</v>
      </c>
      <c r="S25" t="s">
        <v>21</v>
      </c>
      <c r="T25" s="1">
        <v>45949.000115740739</v>
      </c>
    </row>
    <row r="26" spans="1:20" x14ac:dyDescent="0.25">
      <c r="A26">
        <v>25</v>
      </c>
      <c r="B26" t="s">
        <v>35</v>
      </c>
      <c r="C26" t="s">
        <v>60</v>
      </c>
      <c r="D26">
        <v>1217002</v>
      </c>
      <c r="E26">
        <v>12264824787</v>
      </c>
      <c r="F26" s="2">
        <v>17603450962916</v>
      </c>
      <c r="G26" s="2">
        <v>17603450962916</v>
      </c>
      <c r="H26" t="b">
        <f t="shared" si="0"/>
        <v>1</v>
      </c>
      <c r="I26">
        <v>0</v>
      </c>
      <c r="J26">
        <v>0</v>
      </c>
      <c r="K26">
        <v>0</v>
      </c>
      <c r="L26">
        <v>0</v>
      </c>
      <c r="M26">
        <v>1</v>
      </c>
      <c r="N26" s="1">
        <v>45943.000115740739</v>
      </c>
      <c r="O26">
        <v>1000</v>
      </c>
      <c r="P26" s="1">
        <v>45943.000115740739</v>
      </c>
      <c r="Q26">
        <v>565246570935</v>
      </c>
      <c r="S26" t="s">
        <v>21</v>
      </c>
      <c r="T26" s="1">
        <v>45947.000115740739</v>
      </c>
    </row>
    <row r="27" spans="1:20" x14ac:dyDescent="0.25">
      <c r="A27">
        <v>26</v>
      </c>
      <c r="B27" t="s">
        <v>19</v>
      </c>
      <c r="C27" t="s">
        <v>61</v>
      </c>
      <c r="D27">
        <v>2005901</v>
      </c>
      <c r="E27">
        <v>20129673932</v>
      </c>
      <c r="F27" s="2">
        <v>17602612293298</v>
      </c>
      <c r="G27" s="2">
        <v>17602612293298</v>
      </c>
      <c r="H27" t="b">
        <f t="shared" si="0"/>
        <v>1</v>
      </c>
      <c r="I27">
        <v>1</v>
      </c>
      <c r="J27">
        <v>0</v>
      </c>
      <c r="K27">
        <v>0</v>
      </c>
      <c r="L27">
        <v>0</v>
      </c>
      <c r="M27">
        <v>0</v>
      </c>
      <c r="N27" s="1">
        <v>45942.000115740739</v>
      </c>
      <c r="O27">
        <v>1000</v>
      </c>
      <c r="P27" s="1">
        <v>45942.000115740739</v>
      </c>
      <c r="Q27">
        <v>528515345079</v>
      </c>
      <c r="S27" t="s">
        <v>24</v>
      </c>
      <c r="T27" s="1">
        <v>45947.000115740739</v>
      </c>
    </row>
    <row r="28" spans="1:20" x14ac:dyDescent="0.25">
      <c r="A28">
        <v>27</v>
      </c>
      <c r="B28" t="s">
        <v>33</v>
      </c>
      <c r="C28" t="s">
        <v>62</v>
      </c>
      <c r="D28">
        <v>2160128</v>
      </c>
      <c r="E28">
        <v>21838396152</v>
      </c>
      <c r="F28" s="2">
        <v>17600945213807</v>
      </c>
      <c r="G28" s="2">
        <v>17600945213807</v>
      </c>
      <c r="H28" t="b">
        <f t="shared" si="0"/>
        <v>1</v>
      </c>
      <c r="I28">
        <v>1</v>
      </c>
      <c r="J28">
        <v>0</v>
      </c>
      <c r="K28">
        <v>0</v>
      </c>
      <c r="L28">
        <v>0</v>
      </c>
      <c r="M28">
        <v>0</v>
      </c>
      <c r="N28" s="1">
        <v>45940.000115740739</v>
      </c>
      <c r="O28">
        <v>1000</v>
      </c>
      <c r="P28" s="1">
        <v>45940.000115740739</v>
      </c>
      <c r="Q28">
        <v>528370867289</v>
      </c>
      <c r="S28" t="s">
        <v>21</v>
      </c>
      <c r="T28" s="1">
        <v>45960.000115740739</v>
      </c>
    </row>
    <row r="29" spans="1:20" x14ac:dyDescent="0.25">
      <c r="A29">
        <v>28</v>
      </c>
      <c r="B29" t="s">
        <v>63</v>
      </c>
      <c r="C29" t="s">
        <v>64</v>
      </c>
      <c r="D29">
        <v>17202278</v>
      </c>
      <c r="E29">
        <v>17646158248</v>
      </c>
      <c r="F29" s="2">
        <v>17600236055414</v>
      </c>
      <c r="G29" s="2">
        <v>17600236055414</v>
      </c>
      <c r="H29" t="b">
        <f t="shared" si="0"/>
        <v>1</v>
      </c>
      <c r="I29">
        <v>0</v>
      </c>
      <c r="J29">
        <v>0</v>
      </c>
      <c r="K29">
        <v>0</v>
      </c>
      <c r="L29">
        <v>0</v>
      </c>
      <c r="M29">
        <v>1</v>
      </c>
      <c r="N29" s="1">
        <v>45939.000115740739</v>
      </c>
      <c r="O29">
        <v>1000</v>
      </c>
      <c r="P29" s="1">
        <v>45939.000115740739</v>
      </c>
      <c r="Q29">
        <v>116565502668</v>
      </c>
      <c r="S29" t="s">
        <v>21</v>
      </c>
      <c r="T29" s="1">
        <v>45947.000115740739</v>
      </c>
    </row>
    <row r="30" spans="1:20" x14ac:dyDescent="0.25">
      <c r="A30">
        <v>29</v>
      </c>
      <c r="B30" t="s">
        <v>19</v>
      </c>
      <c r="C30" t="s">
        <v>65</v>
      </c>
      <c r="D30">
        <v>21052697</v>
      </c>
      <c r="E30">
        <v>21715984575</v>
      </c>
      <c r="F30" s="2">
        <v>17599985439332</v>
      </c>
      <c r="G30" s="2">
        <v>17599985439332</v>
      </c>
      <c r="H30" t="b">
        <f t="shared" si="0"/>
        <v>1</v>
      </c>
      <c r="I30">
        <v>0</v>
      </c>
      <c r="J30">
        <v>0</v>
      </c>
      <c r="K30">
        <v>0</v>
      </c>
      <c r="L30">
        <v>0</v>
      </c>
      <c r="M30">
        <v>1</v>
      </c>
      <c r="N30" s="1">
        <v>45939.000115740739</v>
      </c>
      <c r="O30">
        <v>1000</v>
      </c>
      <c r="P30" s="1">
        <v>45939.000115740739</v>
      </c>
      <c r="Q30">
        <v>528214425910</v>
      </c>
      <c r="S30" t="s">
        <v>21</v>
      </c>
      <c r="T30" s="1">
        <v>45954.000115740739</v>
      </c>
    </row>
    <row r="31" spans="1:20" x14ac:dyDescent="0.25">
      <c r="A31">
        <v>30</v>
      </c>
      <c r="B31" t="s">
        <v>31</v>
      </c>
      <c r="C31" t="s">
        <v>66</v>
      </c>
      <c r="D31">
        <v>1502343</v>
      </c>
      <c r="E31">
        <v>15093839065</v>
      </c>
      <c r="F31" s="2">
        <v>17599299244717</v>
      </c>
      <c r="G31" s="2">
        <v>17599299244717</v>
      </c>
      <c r="H31" t="b">
        <f t="shared" si="0"/>
        <v>1</v>
      </c>
      <c r="I31">
        <v>0</v>
      </c>
      <c r="J31">
        <v>0</v>
      </c>
      <c r="K31">
        <v>0</v>
      </c>
      <c r="L31">
        <v>0</v>
      </c>
      <c r="M31">
        <v>1</v>
      </c>
      <c r="N31" s="1">
        <v>45938.000115740739</v>
      </c>
      <c r="O31">
        <v>1000</v>
      </c>
      <c r="P31" s="1">
        <v>45938.000115740739</v>
      </c>
      <c r="Q31">
        <v>564745337351</v>
      </c>
      <c r="S31" t="s">
        <v>21</v>
      </c>
      <c r="T31" s="1">
        <v>45941.000115740739</v>
      </c>
    </row>
    <row r="32" spans="1:20" x14ac:dyDescent="0.25">
      <c r="A32">
        <v>31</v>
      </c>
      <c r="B32" t="s">
        <v>19</v>
      </c>
      <c r="C32" t="s">
        <v>67</v>
      </c>
      <c r="D32">
        <v>1806074</v>
      </c>
      <c r="E32">
        <v>18176260539</v>
      </c>
      <c r="F32" s="2">
        <v>17599230700754</v>
      </c>
      <c r="G32" s="2">
        <v>17599230700754</v>
      </c>
      <c r="H32" t="b">
        <f t="shared" si="0"/>
        <v>1</v>
      </c>
      <c r="I32">
        <v>0</v>
      </c>
      <c r="J32">
        <v>1</v>
      </c>
      <c r="K32">
        <v>0</v>
      </c>
      <c r="L32">
        <v>0</v>
      </c>
      <c r="M32">
        <v>0</v>
      </c>
      <c r="N32" s="1">
        <v>45938.000115740739</v>
      </c>
      <c r="O32">
        <v>1300</v>
      </c>
      <c r="P32" s="1">
        <v>45941.000115740739</v>
      </c>
      <c r="Q32">
        <v>528402066799</v>
      </c>
      <c r="S32" t="s">
        <v>21</v>
      </c>
      <c r="T32" s="1">
        <v>45947.000115740739</v>
      </c>
    </row>
    <row r="33" spans="1:20" x14ac:dyDescent="0.25">
      <c r="A33">
        <v>32</v>
      </c>
      <c r="B33" t="s">
        <v>63</v>
      </c>
      <c r="C33" t="s">
        <v>68</v>
      </c>
      <c r="D33" t="s">
        <v>69</v>
      </c>
      <c r="E33">
        <v>7162107826</v>
      </c>
      <c r="F33" s="2">
        <v>17599087123355</v>
      </c>
      <c r="G33" s="2">
        <v>17599087123355</v>
      </c>
      <c r="H33" t="b">
        <f t="shared" si="0"/>
        <v>1</v>
      </c>
      <c r="I33">
        <v>0</v>
      </c>
      <c r="J33">
        <v>0</v>
      </c>
      <c r="K33">
        <v>0</v>
      </c>
      <c r="L33">
        <v>0</v>
      </c>
      <c r="M33">
        <v>2</v>
      </c>
      <c r="N33" s="1">
        <v>45938.000115740739</v>
      </c>
      <c r="O33">
        <v>2000</v>
      </c>
      <c r="P33" s="1">
        <v>45939.000115740739</v>
      </c>
      <c r="Q33">
        <v>122667277</v>
      </c>
      <c r="S33" t="s">
        <v>21</v>
      </c>
      <c r="T33" s="1">
        <v>45947.000115740739</v>
      </c>
    </row>
    <row r="34" spans="1:20" x14ac:dyDescent="0.25">
      <c r="A34">
        <v>33</v>
      </c>
      <c r="B34" t="s">
        <v>33</v>
      </c>
      <c r="C34" t="s">
        <v>70</v>
      </c>
      <c r="D34">
        <v>961045</v>
      </c>
      <c r="E34">
        <v>9152112216</v>
      </c>
      <c r="F34" s="2">
        <v>17598081595162</v>
      </c>
      <c r="G34" s="2">
        <v>17598081595162</v>
      </c>
      <c r="H34" t="b">
        <f t="shared" si="0"/>
        <v>1</v>
      </c>
      <c r="I34">
        <v>0</v>
      </c>
      <c r="J34">
        <v>0</v>
      </c>
      <c r="K34">
        <v>0</v>
      </c>
      <c r="L34">
        <v>0</v>
      </c>
      <c r="M34">
        <v>1</v>
      </c>
      <c r="N34" s="1">
        <v>45937.000115740739</v>
      </c>
      <c r="O34">
        <v>1000</v>
      </c>
      <c r="P34" s="1">
        <v>45938.000115740739</v>
      </c>
      <c r="Q34">
        <v>528109184089</v>
      </c>
      <c r="S34" t="s">
        <v>21</v>
      </c>
      <c r="T34" s="1">
        <v>45947.000115740739</v>
      </c>
    </row>
    <row r="35" spans="1:20" x14ac:dyDescent="0.25">
      <c r="A35">
        <v>34</v>
      </c>
      <c r="B35" t="s">
        <v>19</v>
      </c>
      <c r="C35" t="s">
        <v>71</v>
      </c>
      <c r="D35">
        <v>1828262</v>
      </c>
      <c r="E35">
        <v>18288161658</v>
      </c>
      <c r="F35" s="2">
        <v>17595946678829</v>
      </c>
      <c r="G35" s="2">
        <v>17595946678829</v>
      </c>
      <c r="H35" t="b">
        <f t="shared" si="0"/>
        <v>1</v>
      </c>
      <c r="I35">
        <v>0</v>
      </c>
      <c r="J35">
        <v>0</v>
      </c>
      <c r="K35">
        <v>0</v>
      </c>
      <c r="L35">
        <v>0</v>
      </c>
      <c r="M35">
        <v>1</v>
      </c>
      <c r="N35" s="1">
        <v>45934.000115740739</v>
      </c>
      <c r="O35">
        <v>1000</v>
      </c>
      <c r="P35" s="1">
        <v>45934.000115740739</v>
      </c>
      <c r="Q35">
        <v>527722081839</v>
      </c>
      <c r="S35" t="s">
        <v>21</v>
      </c>
      <c r="T35" s="1">
        <v>45939.000115740739</v>
      </c>
    </row>
    <row r="36" spans="1:20" x14ac:dyDescent="0.25">
      <c r="A36">
        <v>35</v>
      </c>
      <c r="B36" t="s">
        <v>19</v>
      </c>
      <c r="C36" t="s">
        <v>72</v>
      </c>
      <c r="D36">
        <v>1505638</v>
      </c>
      <c r="E36">
        <v>15350541632</v>
      </c>
      <c r="F36" s="2">
        <v>17595539383287</v>
      </c>
      <c r="G36" s="2">
        <v>17595539383287</v>
      </c>
      <c r="H36" t="b">
        <f t="shared" si="0"/>
        <v>1</v>
      </c>
      <c r="I36">
        <v>0</v>
      </c>
      <c r="J36">
        <v>0</v>
      </c>
      <c r="K36">
        <v>0</v>
      </c>
      <c r="L36">
        <v>0</v>
      </c>
      <c r="M36">
        <v>1</v>
      </c>
      <c r="N36" s="1">
        <v>45934.000115740739</v>
      </c>
      <c r="O36">
        <v>1000</v>
      </c>
      <c r="P36" s="1">
        <v>45934.000115740739</v>
      </c>
      <c r="Q36">
        <v>250033216</v>
      </c>
      <c r="S36" t="s">
        <v>21</v>
      </c>
      <c r="T36" s="1">
        <v>45936.000115740739</v>
      </c>
    </row>
    <row r="37" spans="1:20" x14ac:dyDescent="0.25">
      <c r="A37">
        <v>36</v>
      </c>
      <c r="B37" t="s">
        <v>31</v>
      </c>
      <c r="C37" t="s">
        <v>73</v>
      </c>
      <c r="D37">
        <v>2102106</v>
      </c>
      <c r="E37">
        <v>21776085189</v>
      </c>
      <c r="F37" s="2">
        <v>17593442199354</v>
      </c>
      <c r="G37" s="2">
        <v>17593442199354</v>
      </c>
      <c r="H37" t="b">
        <f t="shared" si="0"/>
        <v>1</v>
      </c>
      <c r="I37">
        <v>0</v>
      </c>
      <c r="J37">
        <v>0</v>
      </c>
      <c r="K37">
        <v>0</v>
      </c>
      <c r="L37">
        <v>0</v>
      </c>
      <c r="M37">
        <v>1</v>
      </c>
      <c r="N37" s="1">
        <v>45932.000115740739</v>
      </c>
      <c r="O37">
        <v>1000</v>
      </c>
      <c r="P37" s="1">
        <v>45932.000115740739</v>
      </c>
      <c r="Q37">
        <v>402114870299</v>
      </c>
      <c r="S37" t="s">
        <v>21</v>
      </c>
      <c r="T37" s="1">
        <v>45936.000115740739</v>
      </c>
    </row>
    <row r="38" spans="1:20" x14ac:dyDescent="0.25">
      <c r="A38">
        <v>37</v>
      </c>
      <c r="B38" t="s">
        <v>19</v>
      </c>
      <c r="C38" t="s">
        <v>74</v>
      </c>
      <c r="D38">
        <v>2205469</v>
      </c>
      <c r="E38">
        <v>22369889402</v>
      </c>
      <c r="F38" s="2">
        <v>17593131344185</v>
      </c>
      <c r="G38" s="2">
        <v>17593131344185</v>
      </c>
      <c r="H38" t="b">
        <f t="shared" si="0"/>
        <v>1</v>
      </c>
      <c r="I38">
        <v>0</v>
      </c>
      <c r="J38">
        <v>0</v>
      </c>
      <c r="K38">
        <v>0</v>
      </c>
      <c r="L38">
        <v>0</v>
      </c>
      <c r="M38">
        <v>3</v>
      </c>
      <c r="N38" s="1">
        <v>45931.000115740739</v>
      </c>
      <c r="O38">
        <v>3000</v>
      </c>
      <c r="P38" s="1">
        <v>45938.000115740739</v>
      </c>
      <c r="Q38">
        <v>528119121860</v>
      </c>
      <c r="S38" t="s">
        <v>21</v>
      </c>
      <c r="T38" s="1">
        <v>45941.000115740739</v>
      </c>
    </row>
    <row r="39" spans="1:20" x14ac:dyDescent="0.25">
      <c r="A39">
        <v>38</v>
      </c>
      <c r="B39" t="s">
        <v>33</v>
      </c>
      <c r="C39" t="s">
        <v>75</v>
      </c>
      <c r="D39">
        <v>1860195</v>
      </c>
      <c r="E39">
        <v>18358762364</v>
      </c>
      <c r="F39" s="2">
        <v>17592200234622</v>
      </c>
      <c r="G39" s="2">
        <v>17592200234622</v>
      </c>
      <c r="H39" t="b">
        <f t="shared" si="0"/>
        <v>1</v>
      </c>
      <c r="I39">
        <v>0</v>
      </c>
      <c r="J39">
        <v>0</v>
      </c>
      <c r="K39">
        <v>0</v>
      </c>
      <c r="L39">
        <v>0</v>
      </c>
      <c r="M39">
        <v>1</v>
      </c>
      <c r="N39" s="1">
        <v>45930.000115740739</v>
      </c>
      <c r="O39">
        <v>1000</v>
      </c>
      <c r="P39" s="1">
        <v>45936.000115740739</v>
      </c>
      <c r="Q39">
        <v>691793457790</v>
      </c>
      <c r="S39" t="s">
        <v>21</v>
      </c>
      <c r="T39" s="1">
        <v>45954.000115740739</v>
      </c>
    </row>
    <row r="40" spans="1:20" x14ac:dyDescent="0.25">
      <c r="A40">
        <v>39</v>
      </c>
      <c r="B40" t="s">
        <v>29</v>
      </c>
      <c r="C40" t="s">
        <v>76</v>
      </c>
      <c r="D40">
        <v>1704243</v>
      </c>
      <c r="E40">
        <v>17094652698</v>
      </c>
      <c r="F40" s="2">
        <v>17585991650414</v>
      </c>
      <c r="G40" s="2">
        <v>17585991650414</v>
      </c>
      <c r="H40" t="b">
        <f t="shared" si="0"/>
        <v>1</v>
      </c>
      <c r="I40">
        <v>0</v>
      </c>
      <c r="J40">
        <v>0</v>
      </c>
      <c r="K40">
        <v>0</v>
      </c>
      <c r="L40">
        <v>0</v>
      </c>
      <c r="M40">
        <v>1</v>
      </c>
      <c r="N40" s="1">
        <v>45923.000115740739</v>
      </c>
      <c r="O40">
        <v>1000</v>
      </c>
      <c r="P40" s="1">
        <v>45938.000115740739</v>
      </c>
      <c r="Q40">
        <v>564733494699</v>
      </c>
      <c r="S40" t="s">
        <v>21</v>
      </c>
      <c r="T40" s="1">
        <v>45942.000115740739</v>
      </c>
    </row>
    <row r="41" spans="1:20" x14ac:dyDescent="0.25">
      <c r="A41">
        <v>40</v>
      </c>
      <c r="B41" t="s">
        <v>77</v>
      </c>
      <c r="C41" t="s">
        <v>78</v>
      </c>
      <c r="D41">
        <v>22116033</v>
      </c>
      <c r="E41">
        <v>22885794564</v>
      </c>
      <c r="F41" s="2">
        <v>17585540865354</v>
      </c>
      <c r="G41" s="2">
        <v>17585540865354</v>
      </c>
      <c r="H41" t="b">
        <f t="shared" si="0"/>
        <v>1</v>
      </c>
      <c r="I41">
        <v>0</v>
      </c>
      <c r="J41">
        <v>0</v>
      </c>
      <c r="K41">
        <v>1</v>
      </c>
      <c r="L41">
        <v>0</v>
      </c>
      <c r="M41">
        <v>0</v>
      </c>
      <c r="N41" s="1">
        <v>45922.000115740739</v>
      </c>
      <c r="O41">
        <v>5980</v>
      </c>
      <c r="P41" s="1">
        <v>45931.000115740739</v>
      </c>
      <c r="Q41">
        <v>527413802495</v>
      </c>
      <c r="S41" t="s">
        <v>21</v>
      </c>
      <c r="T41" s="1">
        <v>45941.000115740739</v>
      </c>
    </row>
    <row r="42" spans="1:20" x14ac:dyDescent="0.25">
      <c r="A42">
        <v>41</v>
      </c>
      <c r="B42" t="s">
        <v>19</v>
      </c>
      <c r="C42" t="s">
        <v>79</v>
      </c>
      <c r="D42">
        <v>2005376</v>
      </c>
      <c r="E42">
        <v>20083373469</v>
      </c>
      <c r="F42" s="2">
        <v>17513842646349</v>
      </c>
      <c r="G42" s="2">
        <v>17513842646349</v>
      </c>
      <c r="H42" t="b">
        <f t="shared" si="0"/>
        <v>1</v>
      </c>
      <c r="I42">
        <v>0</v>
      </c>
      <c r="J42">
        <v>2</v>
      </c>
      <c r="K42">
        <v>0</v>
      </c>
      <c r="L42">
        <v>0</v>
      </c>
      <c r="M42">
        <v>1</v>
      </c>
      <c r="N42" s="1">
        <v>45839.000115740739</v>
      </c>
      <c r="O42">
        <v>3600</v>
      </c>
      <c r="P42" s="1">
        <v>45952.000115740739</v>
      </c>
      <c r="Q42">
        <v>391152982134</v>
      </c>
      <c r="S42" t="s">
        <v>21</v>
      </c>
      <c r="T42" s="1">
        <v>45960.000115740739</v>
      </c>
    </row>
  </sheetData>
  <pageMargins left="0.7" right="0.7" top="0.75" bottom="0.75" header="0.3" footer="0.3"/>
  <ignoredErrors>
    <ignoredError sqref="H1:T1 A1:F42 I3:T42 I2:T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Das</cp:lastModifiedBy>
  <dcterms:modified xsi:type="dcterms:W3CDTF">2025-11-19T06:57:16Z</dcterms:modified>
</cp:coreProperties>
</file>